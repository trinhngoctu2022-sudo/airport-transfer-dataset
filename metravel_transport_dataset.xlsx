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rates" sheetId="2" state="visible" r:id="rId4"/>
    <sheet name="transport_data" sheetId="3" state="visible" r:id="rId5"/>
  </sheets>
  <definedNames>
    <definedName function="false" hidden="true" localSheetId="2" name="_xlnm._FilterDatabase" vbProcedure="false">transport_data!$A$1:$Y$19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<sst xmlns="http://schemas.openxmlformats.org/spreadsheetml/2006/main" count="398" uniqueCount="211">
  <si>
    <t xml:space="preserve">MeTravel — Transport Price Dataset</t>
  </si>
  <si>
    <t xml:space="preserve">Phase 0 deliverable: curated transport data for Vietnamese travellers abroad</t>
  </si>
  <si>
    <t xml:space="preserve">HOW TO USE THIS FILE</t>
  </si>
  <si>
    <t xml:space="preserve">1. Fill only the YELLOW columns on the 'transport_data' sheet. GREEN columns are formulas — leave them alone.</t>
  </si>
  <si>
    <t xml:space="preserve">2. Row 2 is a filled-in EXAMPLE showing the expected format. Do not delete it; delete it only at the very end.</t>
  </si>
  <si>
    <t xml:space="preserve">3. Update 'rates' sheet with today's exchange rates before you start. VND columns calculate automatically.</t>
  </si>
  <si>
    <t xml:space="preserve">4. Every row needs a source_url. A price with no source is worthless in a portfolio.</t>
  </si>
  <si>
    <t xml:space="preserve">5. Target: 30 rows done well beats 100 rows guessed. Aim for ~10 rows per week for 3 weeks.</t>
  </si>
  <si>
    <t xml:space="preserve">COLUMN DEFINITIONS</t>
  </si>
  <si>
    <t xml:space="preserve">route_id</t>
  </si>
  <si>
    <t xml:space="preserve">Unique ID. Format: CITY-NN, e.g. BKK-01</t>
  </si>
  <si>
    <t xml:space="preserve">method_type</t>
  </si>
  <si>
    <t xml:space="preserve">One of: metro / train / bus / taxi / ride_hail / private_car / ferry / walk</t>
  </si>
  <si>
    <t xml:space="preserve">price_min_local / price_max_local</t>
  </si>
  <si>
    <t xml:space="preserve">Range in LOCAL currency. If price is fixed, put the same number in both.</t>
  </si>
  <si>
    <t xml:space="preserve">comfort_1_5</t>
  </si>
  <si>
    <t xml:space="preserve">1 = crowded, standing, no aircon. 5 = private door-to-door car.</t>
  </si>
  <si>
    <t xml:space="preserve">luggage_ok</t>
  </si>
  <si>
    <t xml:space="preserve">yes / no / tight — can you realistically do this with a 24-inch suitcase?</t>
  </si>
  <si>
    <t xml:space="preserve">operates_from / operates_to</t>
  </si>
  <si>
    <t xml:space="preserve">24h format, e.g. 05:30 / 24:00. CRITICAL: cheap flights land late at night.</t>
  </si>
  <si>
    <t xml:space="preserve">how_to_buy</t>
  </si>
  <si>
    <t xml:space="preserve">Concrete instruction: which counter, which machine, cash or card, what to say.</t>
  </si>
  <si>
    <t xml:space="preserve">app_needed</t>
  </si>
  <si>
    <t xml:space="preserve">App to install BEFORE departure, e.g. Grab, Kakao T, Suica. Write 'none' if not needed.</t>
  </si>
  <si>
    <t xml:space="preserve">language_difficulty_1_5</t>
  </si>
  <si>
    <t xml:space="preserve">How hard is this WITHOUT the local language? 1 = fully English/self-service, 5 = must negotiate verbally.</t>
  </si>
  <si>
    <t xml:space="preserve">scam_risk_note</t>
  </si>
  <si>
    <t xml:space="preserve">Known overcharge or scam pattern on this route. Blank if none.</t>
  </si>
  <si>
    <t xml:space="preserve">last_updated</t>
  </si>
  <si>
    <t xml:space="preserve">Date you verified the price. Format YYYY-MM-DD.</t>
  </si>
  <si>
    <t xml:space="preserve">WHERE TO FIND PRICES (in order of reliability)</t>
  </si>
  <si>
    <t xml:space="preserve">1. Official operator site — airport, metro, rail company. Best source.</t>
  </si>
  <si>
    <t xml:space="preserve">2. Official tourism board site of the city.</t>
  </si>
  <si>
    <t xml:space="preserve">3. Recent Reddit threads (r/JapanTravel, r/korea, r/Thailand) — filter to last 12 months.</t>
  </si>
  <si>
    <t xml:space="preserve">4. YouTube vlogs from the last year — good for 'how to actually do it' steps.</t>
  </si>
  <si>
    <t xml:space="preserve">5. Vietnamese Facebook groups — good for scam notes, weak for exact prices.</t>
  </si>
  <si>
    <t xml:space="preserve">ANALYSIS QUESTIONS THIS DATASET WILL ANSWER (your portfolio piece)</t>
  </si>
  <si>
    <t xml:space="preserve">Q1. Which city has the biggest gap between cheapest and most expensive airport transfer?</t>
  </si>
  <si>
    <t xml:space="preserve">Q2. What is the 'convenience premium' — how many times more does a taxi cost vs public transport, per city?</t>
  </si>
  <si>
    <t xml:space="preserve">Q3. Which cities strand a late-night arrival (no public option after 23:00) and what does that cost?</t>
  </si>
  <si>
    <t xml:space="preserve">Q4. Is there a correlation between language_difficulty and price spread? (Does not speaking the language cost money?)</t>
  </si>
  <si>
    <t xml:space="preserve">Q5. What is the realistic transport budget in VND for a 5-day trip, by city and by travel style?</t>
  </si>
  <si>
    <t xml:space="preserve">NEXT STEP AFTER THIS FILE IS FULL</t>
  </si>
  <si>
    <t xml:space="preserve">Export 'transport_data' as CSV -&gt; load into SQLite -&gt; answer Q1-Q5 with SQL -&gt; publish to GitHub with charts.</t>
  </si>
  <si>
    <t xml:space="preserve">Exchange rates — UPDATE THESE BEFORE YOU START</t>
  </si>
  <si>
    <t xml:space="preserve">Source: xe.com or Google. Re-check monthly. VND columns on transport_data depend on this table.</t>
  </si>
  <si>
    <t xml:space="preserve">currency_code</t>
  </si>
  <si>
    <t xml:space="preserve">currency_name</t>
  </si>
  <si>
    <t xml:space="preserve">vnd_per_unit</t>
  </si>
  <si>
    <t xml:space="preserve">THB</t>
  </si>
  <si>
    <t xml:space="preserve">Thai Baht</t>
  </si>
  <si>
    <t xml:space="preserve">KRW</t>
  </si>
  <si>
    <t xml:space="preserve">Korean Won</t>
  </si>
  <si>
    <t xml:space="preserve">JPY</t>
  </si>
  <si>
    <t xml:space="preserve">Japanese Yen</t>
  </si>
  <si>
    <t xml:space="preserve">SGD</t>
  </si>
  <si>
    <t xml:space="preserve">Singapore Dollar</t>
  </si>
  <si>
    <t xml:space="preserve">TWD</t>
  </si>
  <si>
    <t xml:space="preserve">Taiwan Dollar</t>
  </si>
  <si>
    <t xml:space="preserve">USD</t>
  </si>
  <si>
    <t xml:space="preserve">US Dollar</t>
  </si>
  <si>
    <t xml:space="preserve">MYR</t>
  </si>
  <si>
    <t xml:space="preserve">Malaysian Ringgit</t>
  </si>
  <si>
    <t xml:space="preserve">VND</t>
  </si>
  <si>
    <t xml:space="preserve">Vietnamese Dong</t>
  </si>
  <si>
    <t xml:space="preserve">Placeholder rates — verify before use.</t>
  </si>
  <si>
    <t xml:space="preserve">city</t>
  </si>
  <si>
    <t xml:space="preserve">country</t>
  </si>
  <si>
    <t xml:space="preserve">origin</t>
  </si>
  <si>
    <t xml:space="preserve">destination</t>
  </si>
  <si>
    <t xml:space="preserve">method_name</t>
  </si>
  <si>
    <t xml:space="preserve">currency</t>
  </si>
  <si>
    <t xml:space="preserve">price_min_local</t>
  </si>
  <si>
    <t xml:space="preserve">price_max_local</t>
  </si>
  <si>
    <t xml:space="preserve">price_min_vnd</t>
  </si>
  <si>
    <t xml:space="preserve">price_max_vnd</t>
  </si>
  <si>
    <t xml:space="preserve">duration_min</t>
  </si>
  <si>
    <t xml:space="preserve">duration_max</t>
  </si>
  <si>
    <t xml:space="preserve">operates_from</t>
  </si>
  <si>
    <t xml:space="preserve">operates_to</t>
  </si>
  <si>
    <t xml:space="preserve">source_url</t>
  </si>
  <si>
    <t xml:space="preserve">price_basis</t>
  </si>
  <si>
    <t xml:space="preserve">EXAMPLE</t>
  </si>
  <si>
    <t xml:space="preserve">Bangkok</t>
  </si>
  <si>
    <t xml:space="preserve">Thailand</t>
  </si>
  <si>
    <t xml:space="preserve">Suvarnabhumi Airport (BKK)</t>
  </si>
  <si>
    <t xml:space="preserve">Sukhumvit / Asok</t>
  </si>
  <si>
    <t xml:space="preserve">train</t>
  </si>
  <si>
    <t xml:space="preserve">Airport Rail Link (City Line)</t>
  </si>
  <si>
    <t xml:space="preserve">tight</t>
  </si>
  <si>
    <t xml:space="preserve">06:00</t>
  </si>
  <si>
    <t xml:space="preserve">24:00</t>
  </si>
  <si>
    <t xml:space="preserve">Follow signs to Level B. Buy token at machine or counter, cash THB only. Ride to Phaya Thai, transfer to BTS.</t>
  </si>
  <si>
    <t xml:space="preserve">none</t>
  </si>
  <si>
    <t xml:space="preserve">None on the train itself. Taxi touts wait at arrivals — ignore them.</t>
  </si>
  <si>
    <t xml:space="preserve">https://www.suvarnabhumiairport.com</t>
  </si>
  <si>
    <t xml:space="preserve">2026-08-24</t>
  </si>
  <si>
    <t xml:space="preserve">per_person</t>
  </si>
  <si>
    <t xml:space="preserve">BKK-01</t>
  </si>
  <si>
    <t xml:space="preserve">https://suvarnabhumi.airportthai.co.th/service/transportation/detail/304 ; https://bkkairportlink.com/fare</t>
  </si>
  <si>
    <t xml:space="preserve">BKK-02</t>
  </si>
  <si>
    <t xml:space="preserve">Khao San Road</t>
  </si>
  <si>
    <t xml:space="preserve">bus</t>
  </si>
  <si>
    <t xml:space="preserve">Bus S1</t>
  </si>
  <si>
    <t xml:space="preserve">20:00</t>
  </si>
  <si>
    <t xml:space="preserve">Tang 1, canh Gate 7. Len xe roi tra tien mat cho phu xe, gia dong 60 THB bat ke xuong o dau. Khong mua truoc duoc. Tranh dua to 500/1000 THB.</t>
  </si>
  <si>
    <t xml:space="preserve">Gia dong, khong the bi chat chem. Rui ro chinh la lo chuyen cuoi luc 20:00.</t>
  </si>
  <si>
    <t xml:space="preserve">https://suvarnabhumi.airportthai.co.th/service/transportation/detail/317</t>
  </si>
  <si>
    <t xml:space="preserve">BKK-03</t>
  </si>
  <si>
    <t xml:space="preserve">taxi</t>
  </si>
  <si>
    <t xml:space="preserve">Metered taxi (public rank)</t>
  </si>
  <si>
    <t xml:space="preserve">yes</t>
  </si>
  <si>
    <t xml:space="preserve">00:00</t>
  </si>
  <si>
    <t xml:space="preserve">Tang 1, quay taxi cong cong giua Gate 4-7. Lay phieu o may tu dong, KHONG di theo nguoi moi chao. Yeu cau bat dong ho.</t>
  </si>
  <si>
    <t xml:space="preserve">Phu phi san bay 50 THB la HOP LE (theo thong bao Bo GTVT), khong phai chat chem. Phi cao toc ~70 THB khach tu tra tien mat. Chieu 'dong ho hong, di gia tron goi' la lua dao.</t>
  </si>
  <si>
    <t xml:space="preserve">https://suvarnabhumi.airportthai.co.th/service/transportation/detail/304</t>
  </si>
  <si>
    <t xml:space="preserve">per_vehicle</t>
  </si>
  <si>
    <t xml:space="preserve">BKK-04</t>
  </si>
  <si>
    <t xml:space="preserve">ride_hail</t>
  </si>
  <si>
    <t xml:space="preserve">Grab</t>
  </si>
  <si>
    <t xml:space="preserve">Cai app Grab truoc khi bay, dung tai khoan Viet Nam duoc. Ra diem don Grab rieng cua san bay theo bien chi dan, khong ra quay taxi. Gia hien san trong app truoc khi dat.</t>
  </si>
  <si>
    <t xml:space="preserve">Gia chot trong app, khong mac ca. Nhung 01:00-04:00 rat kho goi duoc tai xe. Gia dong theo nhu cau nen co the cao hon taxi dong ho vao gio cao diem.</t>
  </si>
  <si>
    <t xml:space="preserve">https://www.faditaxi.com/airport/suvarnabhumi-airport-taxi ; https://www.thaizer.com/how-to-catch-a-taxi-from-bangkok-airport/</t>
  </si>
  <si>
    <t xml:space="preserve">BKK-05</t>
  </si>
  <si>
    <t xml:space="preserve">private_car</t>
  </si>
  <si>
    <t xml:space="preserve">Pre-booked private transfer</t>
  </si>
  <si>
    <t xml:space="preserve">Dat truoc online (Klook, Trip.com hoac cong ty transfer) truoc ngay bay. Tai xe cam bien ten don tai sanh den. Gia chot truoc, khong phat sinh phi cao toc.</t>
  </si>
  <si>
    <t xml:space="preserve">Gia co dinh, khong co rui ro chat chem. Doi lai la dat nhat. Dang tien khi di nhom 3-4 nguoi hoac ha canh ban dem.</t>
  </si>
  <si>
    <t xml:space="preserve">https://www.thaizer.com/how-to-catch-a-taxi-from-bangkok-airport/</t>
  </si>
  <si>
    <t xml:space="preserve">DMK-01</t>
  </si>
  <si>
    <t xml:space="preserve">Don Mueang Airport (DMK)</t>
  </si>
  <si>
    <t xml:space="preserve">Mo Chit BTS</t>
  </si>
  <si>
    <t xml:space="preserve">Bus A1</t>
  </si>
  <si>
    <t xml:space="preserve">05:45</t>
  </si>
  <si>
    <t xml:space="preserve">Ra Cua so 6, sanh den Terminal 1, tim bien 'BMTA Bus'. Len xe roi tra tien mat truc tiep cho phu xe, gia dong 30 THB bat ke xuong dau. Chuan bi tien le, tranh dua to.</t>
  </si>
  <si>
    <t xml:space="preserve">Gia dong nen khong the bi chat chem. Cho de hanh ly tren xe han che, gio cao diem co the phai dung suot chang.</t>
  </si>
  <si>
    <t xml:space="preserve">https://donmueang.airportthai.co.th/service/transportation/detail/205 ; https://www.thaizer.com/airport-bus-service-to-and-from-bangkok-don-muang/</t>
  </si>
  <si>
    <t xml:space="preserve">DMK-02</t>
  </si>
  <si>
    <t xml:space="preserve">Bang Sue Grand Station</t>
  </si>
  <si>
    <t xml:space="preserve">SRT Red Line</t>
  </si>
  <si>
    <t xml:space="preserve">05:30</t>
  </si>
  <si>
    <t xml:space="preserve">Co skywalk noi thang tu san bay sang ga. Mua token o may tu dong hoac quay co nhan vien, CHI nhan tien mat THB. Quet token o cua soat ve. Ve SRT khong dung duoc cho MRT/BTS - phai mua ve rieng neu di tiep.</t>
  </si>
  <si>
    <t xml:space="preserve">Gia niem yet, khong co rui ro. Luu y: den Bang Sue van phai doi sang MRT moi vao trung tam.</t>
  </si>
  <si>
    <t xml:space="preserve">https://www.renown-travel.com/daytripsbangkok/srtredline.html ; https://thaiest.com/thailand/bangkok/srt-red-line</t>
  </si>
  <si>
    <t xml:space="preserve">DMK-03</t>
  </si>
  <si>
    <t xml:space="preserve">Quay taxi o Terminal 1 quoc te tang 1 canh Gate 8, hoac Terminal 2 noi dia canh Gate 15. Lay phieu tai quay, khong di theo nguoi moi chao. Yeu cau bat dong ho.</t>
  </si>
  <si>
    <t xml:space="preserve">Phu phi san bay 50 THB cong vao dong ho la HOP LE theo thong bao Bo GTVT Thai Lan, khong phai chat chem. Phi duong cao toc khach tu tra tien mat tai tram.</t>
  </si>
  <si>
    <t xml:space="preserve">https://donmueang.airportthai.co.th/service/transportation/detail/211</t>
  </si>
  <si>
    <t xml:space="preserve">ICN-01</t>
  </si>
  <si>
    <t xml:space="preserve">Seoul</t>
  </si>
  <si>
    <t xml:space="preserve">South Korea</t>
  </si>
  <si>
    <t xml:space="preserve">Incheon Airport T1 (ICN)</t>
  </si>
  <si>
    <t xml:space="preserve">Seoul Station</t>
  </si>
  <si>
    <t xml:space="preserve">AREX Express Train</t>
  </si>
  <si>
    <t xml:space="preserve">05:15</t>
  </si>
  <si>
    <t xml:space="preserve">22:40</t>
  </si>
  <si>
    <t xml:space="preserve">Mua ở quầy Express Train hoặc máy tự động tại ga sân bay. Máy thường từ chối thẻ nước ngoài — nếu vậy ra quầy thanh toán bằng thẻ. Vé có ghế ngồi cố định, có khoang để vali riêng.</t>
  </si>
  <si>
    <t xml:space="preserve">Gia niem yet 13.000 KRW tai quay, khoang 11.500 KRW neu mua online truoc. Ve Express dung he thong soat ve rieng - KHONG chuyen tuyen mien phi sang tau thuong. Lo chuyen phai ra quay doi ve va tra phi phat 3.500 KRW.</t>
  </si>
  <si>
    <t xml:space="preserve">https://www.theseoulguide.com/airport-railroad-arex-express-train/</t>
  </si>
  <si>
    <t xml:space="preserve">ICN-02</t>
  </si>
  <si>
    <t xml:space="preserve">Hongdae</t>
  </si>
  <si>
    <t xml:space="preserve">AREX All-Stop Train</t>
  </si>
  <si>
    <t xml:space="preserve">05:20</t>
  </si>
  <si>
    <t xml:space="preserve">23:38</t>
  </si>
  <si>
    <t xml:space="preserve">Mua token o may tu dong tai ga, hoac quet the T-money. Nen mua the T-money o cua hang tien loi trong san bay truoc - the ngan hang nuoc ngoai khong quet truc tiep duoc o cua soat ve.</t>
  </si>
  <si>
    <t xml:space="preserve">Gia theo cu ly, toi da khoang 5.350 KRW. Uu diem it ai biet: tau nay dung thang o ga Hongik University, con Express chay qua khong dung - neu o Hongdae thi tau re hon lai tien hon.</t>
  </si>
  <si>
    <t xml:space="preserve">https://creatrip.com/en/blog/1696</t>
  </si>
  <si>
    <t xml:space="preserve">ICN-03</t>
  </si>
  <si>
    <t xml:space="preserve">Myeongdong</t>
  </si>
  <si>
    <t xml:space="preserve">Limousine Bus 6015</t>
  </si>
  <si>
    <t xml:space="preserve">22:50</t>
  </si>
  <si>
    <t xml:space="preserve">Mua ve o quay hoac kiosk trong sanh den TRUOC khi ra ben - chieu tu san bay KHONG quet T-money len xe duoc. Kiosk nhan the nuoc ngoai. Hanh ly de duoi gam xe, nhan viec xep giup.</t>
  </si>
  <si>
    <t xml:space="preserve">Gia co dinh 17.000 KRW, khong co rui ro. Rui ro that la tac duong - tranh khung 16:30-19:30. Bu lai xe do ngay truoc nhieu khach san, khong phai keo vali qua cau thang ga tau.</t>
  </si>
  <si>
    <t xml:space="preserve">https://askkoreatravel.com/mastering-the-6015-airport-bus-the/</t>
  </si>
  <si>
    <t xml:space="preserve">ICN-04</t>
  </si>
  <si>
    <t xml:space="preserve">Regular taxi</t>
  </si>
  <si>
    <t xml:space="preserve">Ra hang taxi chinh thuc theo bien chi dan o sanh den. Taxi Han Quoc deu bat dong ho, khong mac ca. Nen co san dia chi khach san viet bang tieng Han de dua tai xe xem.</t>
  </si>
  <si>
    <t xml:space="preserve">Phu phi ban dem toi 40% trong khung 23:00-02:00 la HOP LE, khong phai chat chem. Nhieu tai xe khong noi tieng Anh - chuan bi dia chi bang tieng Han.</t>
  </si>
  <si>
    <t xml:space="preserve">https://beyond-seoul.vercel.app/journal/incheon-airport-to-seoul-guide</t>
  </si>
  <si>
    <t xml:space="preserve">ICN-05</t>
  </si>
  <si>
    <t xml:space="preserve">Kakao T</t>
  </si>
  <si>
    <t xml:space="preserve">Cai app Kakao T truoc khi bay. App can so dien thoai de xac thuc - nen dang ky truoc khi roi Viet Nam hoac dung eSIM Han Quoc. Ra diem don ride-hail rieng theo bien chi dan.</t>
  </si>
  <si>
    <t xml:space="preserve">Gia hien trong app truoc khi dat. Phu phi ban dem 23:00-02:00 la hop le. Kho khan chinh la buoc xac thuc so dien thoai - nhieu nguoi nuoc ngoai khong dung duoc app neu chua chuan bi.</t>
  </si>
  <si>
    <t xml:space="preserve">SIN-01</t>
  </si>
  <si>
    <t xml:space="preserve">Singapore</t>
  </si>
  <si>
    <t xml:space="preserve">Changi Airport (SIN)</t>
  </si>
  <si>
    <t xml:space="preserve">Bugis</t>
  </si>
  <si>
    <t xml:space="preserve">metro</t>
  </si>
  <si>
    <t xml:space="preserve">MRT East-West Line</t>
  </si>
  <si>
    <t xml:space="preserve">23:18</t>
  </si>
  <si>
    <t xml:space="preserve">Theo bien 'Train to City', ga MRT o tang ham Terminal 2 va 3. Quet thang bang the Visa/Mastercard khong tiep xuc (SimplyGo), hoac mua the EZ-Link 10 SGD o quay TransitLink. Phai doi tau mot lan tai ga Tanah Merah.</t>
  </si>
  <si>
    <t xml:space="preserve">Gia niem yet, khong co rui ro. Luu y: Terminal 4 KHONG co ga MRT - phai di xe shuttle mien phi sang Terminal 3 truoc, mat them 15-20 phut.</t>
  </si>
  <si>
    <t xml:space="preserve">https://www.singapore-spirit.com/guides/changi-airport-to-city/ ; https://travjoy.com/blog/singapore-changi-airport-to-city-all-ways-to-get-there-2026-1</t>
  </si>
  <si>
    <t xml:space="preserve">SIN-02</t>
  </si>
  <si>
    <t xml:space="preserve">East Coast</t>
  </si>
  <si>
    <t xml:space="preserve">Public bus 36</t>
  </si>
  <si>
    <t xml:space="preserve">no</t>
  </si>
  <si>
    <t xml:space="preserve">23:00</t>
  </si>
  <si>
    <t xml:space="preserve">Ben xe bus o tang ham Terminal 1, 2, 3. Quet the EZ-Link hoac the ngan hang khong tiep xuc. Neu tra tien mat phai co dung tien le, xe KHONG tra lai tien thua.</t>
  </si>
  <si>
    <t xml:space="preserve">Gia niem yet. Chi nen di neu khach san nam tren tuyen 36 va hanh ly gon - xe khong co cho de vali.</t>
  </si>
  <si>
    <t xml:space="preserve">https://www.hootling.com/blog/taxi-changi-to-singapore</t>
  </si>
  <si>
    <t xml:space="preserve">SIN-03</t>
  </si>
  <si>
    <t xml:space="preserve">Metered taxi</t>
  </si>
  <si>
    <t xml:space="preserve">Xep hang o quay taxi chinh thuc theo bien chi dan. Tat ca taxi deu bat dong ho, do LTA quan ly. Khong co co tro moi chao.</t>
  </si>
  <si>
    <t xml:space="preserve">Phu phi san bay 3-5 SGD, phu phi gio cao diem 25%, phu phi dem 00:00-06:00 len toi 50% - tat ca deu HOP LE va cong khai. Ban ngay 28-45 SGD, sau nua dem 35-55 SGD.</t>
  </si>
  <si>
    <t xml:space="preserve">https://www.hootling.com/blog/taxi-changi-to-singapore ; https://www.airporttransferportal.com/airport-guides/sin/cost-to-city</t>
  </si>
  <si>
    <t xml:space="preserve">SIN-04</t>
  </si>
  <si>
    <t xml:space="preserve">Cai app Grab truoc khi bay, tai khoan Viet Nam dung duoc. Ra diem don ride-hail rieng theo bien chi dan. Gia hien day du truoc khi dat.</t>
  </si>
  <si>
    <t xml:space="preserve">Gia chot trong app, da bao gom moi phu phi. Nhung tang gia dong khi mua hoac gio cao diem - co the vot len gap doi. Neu thay gia cao, doi 10-15 phut hoac di MRT vao trung tam roi goi Grab chang ngan.</t>
  </si>
  <si>
    <t xml:space="preserve">https://www.singapore-spirit.com/guides/grab-taxis-singapore/ ; https://www.travelarbitrage.net/en/blog/singapore-airport-transfer-backpacker-rainy-season-budget-2026/</t>
  </si>
</sst>
</file>

<file path=xl/styles.xml><?xml version="1.0" encoding="utf-8"?>
<styleSheet xmlns="http://schemas.openxmlformats.org/spreadsheetml/2006/main">
  <numFmts count="4">
    <numFmt numFmtId="164" formatCode="General"/>
    <numFmt numFmtId="165" formatCode="#,##0"/>
    <numFmt numFmtId="166" formatCode="#,##0.00"/>
    <numFmt numFmtId="167" formatCode="@"/>
  </numFmts>
  <fonts count="16">
    <font>
      <sz val="11"/>
      <color theme="1"/>
      <name val="Calibri"/>
      <family val="2"/>
      <charset val="1"/>
    </font>
    <font>
      <sz val="10"/>
      <name val="Arial"/>
      <family val="0"/>
    </font>
    <font>
      <sz val="10"/>
      <name val="Arial"/>
      <family val="0"/>
    </font>
    <font>
      <sz val="10"/>
      <name val="Arial"/>
      <family val="0"/>
    </font>
    <font>
      <b val="true"/>
      <sz val="13"/>
      <color rgb="FF1F4E79"/>
      <name val="Arial"/>
      <family val="2"/>
      <charset val="1"/>
    </font>
    <font>
      <i val="true"/>
      <sz val="10"/>
      <color rgb="FF595959"/>
      <name val="Arial"/>
      <family val="2"/>
      <charset val="1"/>
    </font>
    <font>
      <b val="true"/>
      <sz val="11"/>
      <color rgb="FF1F4E79"/>
      <name val="Arial"/>
      <family val="2"/>
      <charset val="1"/>
    </font>
    <font>
      <sz val="10"/>
      <name val="Arial"/>
      <family val="2"/>
      <charset val="1"/>
    </font>
    <font>
      <b val="true"/>
      <sz val="10"/>
      <name val="Arial"/>
      <family val="2"/>
      <charset val="1"/>
    </font>
    <font>
      <b val="true"/>
      <sz val="10"/>
      <color rgb="FFFFFFFF"/>
      <name val="Arial"/>
      <family val="2"/>
      <charset val="1"/>
    </font>
    <font>
      <sz val="10"/>
      <color rgb="FF0000FF"/>
      <name val="Arial"/>
      <family val="2"/>
      <charset val="1"/>
    </font>
    <font>
      <i val="true"/>
      <sz val="9"/>
      <color rgb="FFC00000"/>
      <name val="Arial"/>
      <family val="2"/>
      <charset val="1"/>
    </font>
    <font>
      <b val="true"/>
      <sz val="10"/>
      <color rgb="FFFFFFFF"/>
      <name val="Arial"/>
      <family val="0"/>
      <charset val="1"/>
    </font>
    <font>
      <sz val="10"/>
      <name val="Arial"/>
      <family val="0"/>
      <charset val="1"/>
    </font>
    <font>
      <sz val="10"/>
      <color theme="1"/>
      <name val="Arial Unicode MS"/>
      <family val="2"/>
      <charset val="1"/>
    </font>
    <font>
      <u val="single"/>
      <sz val="11"/>
      <color theme="10"/>
      <name val="Calibri"/>
      <family val="2"/>
      <charset val="1"/>
    </font>
  </fonts>
  <fills count="8">
    <fill>
      <patternFill patternType="none"/>
    </fill>
    <fill>
      <patternFill patternType="gray125"/>
    </fill>
    <fill>
      <patternFill patternType="solid">
        <fgColor rgb="FF1F4E79"/>
        <bgColor rgb="FF003366"/>
      </patternFill>
    </fill>
    <fill>
      <patternFill patternType="solid">
        <fgColor rgb="FFFFF2CC"/>
        <bgColor rgb="FFFCE4D6"/>
      </patternFill>
    </fill>
    <fill>
      <patternFill patternType="solid">
        <fgColor rgb="FFFCE4D6"/>
        <bgColor rgb="FFFFD9D9"/>
      </patternFill>
    </fill>
    <fill>
      <patternFill patternType="solid">
        <fgColor rgb="FFDDEBF7"/>
        <bgColor rgb="FFE2EFDA"/>
      </patternFill>
    </fill>
    <fill>
      <patternFill patternType="solid">
        <fgColor rgb="FFE2EFDA"/>
        <bgColor rgb="FFDDEBF7"/>
      </patternFill>
    </fill>
    <fill>
      <patternFill patternType="solid">
        <fgColor rgb="FFFFD9D9"/>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7" fontId="13" fillId="4" borderId="1" xfId="0" applyFont="true" applyBorder="true" applyAlignment="true" applyProtection="false">
      <alignment horizontal="center" vertical="top" textRotation="0" wrapText="true" indent="0" shrinkToFit="false"/>
      <protection locked="true" hidden="false"/>
    </xf>
    <xf numFmtId="167" fontId="13" fillId="4" borderId="1" xfId="0" applyFont="true" applyBorder="true" applyAlignment="true" applyProtection="false">
      <alignment horizontal="general" vertical="top" textRotation="0" wrapText="true" indent="0" shrinkToFit="false"/>
      <protection locked="true" hidden="false"/>
    </xf>
    <xf numFmtId="164" fontId="13" fillId="5"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6" borderId="1" xfId="0" applyFont="true" applyBorder="true" applyAlignment="true" applyProtection="false">
      <alignment horizontal="general" vertical="top" textRotation="0" wrapText="true" indent="0" shrinkToFit="false"/>
      <protection locked="true" hidden="false"/>
    </xf>
    <xf numFmtId="167" fontId="13" fillId="7"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7" fontId="13" fillId="7"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4" fontId="13" fillId="7" borderId="1" xfId="0" applyFont="true" applyBorder="true" applyAlignment="true" applyProtection="false">
      <alignment horizontal="general" vertical="top" textRotation="0" wrapText="true" indent="0" shrinkToFit="false"/>
      <protection locked="true" hidden="false"/>
    </xf>
    <xf numFmtId="166" fontId="13" fillId="7" borderId="1" xfId="0" applyFont="true" applyBorder="true" applyAlignment="true" applyProtection="false">
      <alignment horizontal="general" vertical="top" textRotation="0" wrapText="true" indent="0" shrinkToFit="false"/>
      <protection locked="true" hidden="false"/>
    </xf>
    <xf numFmtId="165" fontId="13" fillId="6"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3" fillId="7"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9"/>
          <bgColor rgb="FF000000"/>
        </patternFill>
      </fill>
    </dxf>
    <dxf>
      <fill>
        <patternFill patternType="solid">
          <fgColor rgb="FFFCE4D6"/>
          <bgColor rgb="FF000000"/>
        </patternFill>
      </fill>
    </dxf>
    <dxf>
      <fill>
        <patternFill patternType="solid">
          <fgColor rgb="FFFFD9D9"/>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E2EFDA"/>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DDEBF7"/>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FD9D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askkoreatravel.com/mastering-the-6015-airport-bus-the/" TargetMode="Externa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2" activeCellId="0" sqref="A32"/>
    </sheetView>
  </sheetViews>
  <sheetFormatPr defaultColWidth="8.66796875" defaultRowHeight="15" zeroHeight="false" outlineLevelRow="0" outlineLevelCol="0"/>
  <cols>
    <col collapsed="false" customWidth="true" hidden="false" outlineLevel="0" max="1" min="1" style="1" width="46"/>
    <col collapsed="false" customWidth="true" hidden="false" outlineLevel="0" max="2" min="2" style="1" width="95"/>
  </cols>
  <sheetData>
    <row r="1" customFormat="false" ht="16.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15" hidden="false" customHeight="true" outlineLevel="0" collapsed="false">
      <c r="A5" s="5" t="s">
        <v>3</v>
      </c>
    </row>
    <row r="6" customFormat="false" ht="15" hidden="false" customHeight="true" outlineLevel="0" collapsed="false">
      <c r="A6" s="5" t="s">
        <v>4</v>
      </c>
    </row>
    <row r="7" customFormat="false" ht="15" hidden="false" customHeight="true" outlineLevel="0" collapsed="false">
      <c r="A7" s="5" t="s">
        <v>5</v>
      </c>
    </row>
    <row r="8" customFormat="false" ht="15" hidden="false" customHeight="true" outlineLevel="0" collapsed="false">
      <c r="A8" s="5" t="s">
        <v>6</v>
      </c>
    </row>
    <row r="9" customFormat="false" ht="15" hidden="false" customHeight="true" outlineLevel="0" collapsed="false">
      <c r="A9" s="5" t="s">
        <v>7</v>
      </c>
    </row>
    <row r="11" customFormat="false" ht="15" hidden="false" customHeight="true" outlineLevel="0" collapsed="false">
      <c r="A11" s="4" t="s">
        <v>8</v>
      </c>
    </row>
    <row r="12" customFormat="false" ht="15" hidden="false" customHeight="true" outlineLevel="0" collapsed="false">
      <c r="A12" s="6" t="s">
        <v>9</v>
      </c>
      <c r="B12" s="5" t="s">
        <v>10</v>
      </c>
    </row>
    <row r="13" customFormat="false" ht="15" hidden="false" customHeight="true" outlineLevel="0" collapsed="false">
      <c r="A13" s="6" t="s">
        <v>11</v>
      </c>
      <c r="B13" s="5" t="s">
        <v>12</v>
      </c>
    </row>
    <row r="14" customFormat="false" ht="15" hidden="false" customHeight="true" outlineLevel="0" collapsed="false">
      <c r="A14" s="6" t="s">
        <v>13</v>
      </c>
      <c r="B14" s="5" t="s">
        <v>14</v>
      </c>
    </row>
    <row r="15" customFormat="false" ht="15" hidden="false" customHeight="true" outlineLevel="0" collapsed="false">
      <c r="A15" s="6" t="s">
        <v>15</v>
      </c>
      <c r="B15" s="5" t="s">
        <v>16</v>
      </c>
    </row>
    <row r="16" customFormat="false" ht="15" hidden="false" customHeight="true" outlineLevel="0" collapsed="false">
      <c r="A16" s="6" t="s">
        <v>17</v>
      </c>
      <c r="B16" s="5" t="s">
        <v>18</v>
      </c>
    </row>
    <row r="17" customFormat="false" ht="15" hidden="false" customHeight="true" outlineLevel="0" collapsed="false">
      <c r="A17" s="6" t="s">
        <v>19</v>
      </c>
      <c r="B17" s="5" t="s">
        <v>20</v>
      </c>
    </row>
    <row r="18" customFormat="false" ht="15" hidden="false" customHeight="true" outlineLevel="0" collapsed="false">
      <c r="A18" s="6" t="s">
        <v>21</v>
      </c>
      <c r="B18" s="5" t="s">
        <v>22</v>
      </c>
    </row>
    <row r="19" customFormat="false" ht="15" hidden="false" customHeight="true" outlineLevel="0" collapsed="false">
      <c r="A19" s="6" t="s">
        <v>23</v>
      </c>
      <c r="B19" s="5" t="s">
        <v>24</v>
      </c>
    </row>
    <row r="20" customFormat="false" ht="15" hidden="false" customHeight="true" outlineLevel="0" collapsed="false">
      <c r="A20" s="6" t="s">
        <v>25</v>
      </c>
      <c r="B20" s="5" t="s">
        <v>26</v>
      </c>
    </row>
    <row r="21" customFormat="false" ht="15" hidden="false" customHeight="true" outlineLevel="0" collapsed="false">
      <c r="A21" s="6" t="s">
        <v>27</v>
      </c>
      <c r="B21" s="5" t="s">
        <v>28</v>
      </c>
    </row>
    <row r="22" customFormat="false" ht="15" hidden="false" customHeight="true" outlineLevel="0" collapsed="false">
      <c r="A22" s="6" t="s">
        <v>29</v>
      </c>
      <c r="B22" s="5" t="s">
        <v>30</v>
      </c>
    </row>
    <row r="24" customFormat="false" ht="15" hidden="false" customHeight="true" outlineLevel="0" collapsed="false">
      <c r="A24" s="4" t="s">
        <v>31</v>
      </c>
    </row>
    <row r="25" customFormat="false" ht="15" hidden="false" customHeight="true" outlineLevel="0" collapsed="false">
      <c r="A25" s="5" t="s">
        <v>32</v>
      </c>
    </row>
    <row r="26" customFormat="false" ht="15" hidden="false" customHeight="true" outlineLevel="0" collapsed="false">
      <c r="A26" s="5" t="s">
        <v>33</v>
      </c>
    </row>
    <row r="27" customFormat="false" ht="15" hidden="false" customHeight="true" outlineLevel="0" collapsed="false">
      <c r="A27" s="5" t="s">
        <v>34</v>
      </c>
    </row>
    <row r="28" customFormat="false" ht="15" hidden="false" customHeight="true" outlineLevel="0" collapsed="false">
      <c r="A28" s="5" t="s">
        <v>35</v>
      </c>
    </row>
    <row r="29" customFormat="false" ht="15" hidden="false" customHeight="true" outlineLevel="0" collapsed="false">
      <c r="A29" s="5" t="s">
        <v>36</v>
      </c>
    </row>
    <row r="31" customFormat="false" ht="15" hidden="false" customHeight="true" outlineLevel="0" collapsed="false">
      <c r="A31" s="4" t="s">
        <v>37</v>
      </c>
    </row>
    <row r="32" customFormat="false" ht="15" hidden="false" customHeight="true" outlineLevel="0" collapsed="false">
      <c r="A32" s="5" t="s">
        <v>38</v>
      </c>
    </row>
    <row r="33" customFormat="false" ht="15" hidden="false" customHeight="true" outlineLevel="0" collapsed="false">
      <c r="A33" s="5" t="s">
        <v>39</v>
      </c>
    </row>
    <row r="34" customFormat="false" ht="15" hidden="false" customHeight="true" outlineLevel="0" collapsed="false">
      <c r="A34" s="5" t="s">
        <v>40</v>
      </c>
    </row>
    <row r="35" customFormat="false" ht="15" hidden="false" customHeight="true" outlineLevel="0" collapsed="false">
      <c r="A35" s="5" t="s">
        <v>41</v>
      </c>
    </row>
    <row r="36" customFormat="false" ht="15" hidden="false" customHeight="true" outlineLevel="0" collapsed="false">
      <c r="A36" s="5" t="s">
        <v>42</v>
      </c>
    </row>
    <row r="38" customFormat="false" ht="15" hidden="false" customHeight="true" outlineLevel="0" collapsed="false">
      <c r="A38" s="4" t="s">
        <v>43</v>
      </c>
    </row>
    <row r="39" customFormat="false" ht="15" hidden="false" customHeight="true" outlineLevel="0" collapsed="false">
      <c r="A39" s="5"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16"/>
    <col collapsed="false" customWidth="true" hidden="false" outlineLevel="0" max="2" min="2" style="1" width="24"/>
    <col collapsed="false" customWidth="true" hidden="false" outlineLevel="0" max="3" min="3" style="1" width="16"/>
  </cols>
  <sheetData>
    <row r="1" customFormat="false" ht="16.5" hidden="false" customHeight="true" outlineLevel="0" collapsed="false">
      <c r="A1" s="2" t="s">
        <v>45</v>
      </c>
    </row>
    <row r="2" customFormat="false" ht="15" hidden="false" customHeight="true" outlineLevel="0" collapsed="false">
      <c r="A2" s="3" t="s">
        <v>46</v>
      </c>
    </row>
    <row r="4" customFormat="false" ht="15" hidden="false" customHeight="true" outlineLevel="0" collapsed="false">
      <c r="A4" s="7" t="s">
        <v>47</v>
      </c>
      <c r="B4" s="7" t="s">
        <v>48</v>
      </c>
      <c r="C4" s="7" t="s">
        <v>49</v>
      </c>
    </row>
    <row r="5" customFormat="false" ht="15" hidden="false" customHeight="true" outlineLevel="0" collapsed="false">
      <c r="A5" s="8" t="s">
        <v>50</v>
      </c>
      <c r="B5" s="8" t="s">
        <v>51</v>
      </c>
      <c r="C5" s="9" t="n">
        <v>780</v>
      </c>
    </row>
    <row r="6" customFormat="false" ht="15" hidden="false" customHeight="true" outlineLevel="0" collapsed="false">
      <c r="A6" s="8" t="s">
        <v>52</v>
      </c>
      <c r="B6" s="8" t="s">
        <v>53</v>
      </c>
      <c r="C6" s="9" t="n">
        <v>19</v>
      </c>
    </row>
    <row r="7" customFormat="false" ht="15" hidden="false" customHeight="true" outlineLevel="0" collapsed="false">
      <c r="A7" s="8" t="s">
        <v>54</v>
      </c>
      <c r="B7" s="8" t="s">
        <v>55</v>
      </c>
      <c r="C7" s="9" t="n">
        <v>175</v>
      </c>
    </row>
    <row r="8" customFormat="false" ht="15" hidden="false" customHeight="true" outlineLevel="0" collapsed="false">
      <c r="A8" s="8" t="s">
        <v>56</v>
      </c>
      <c r="B8" s="8" t="s">
        <v>57</v>
      </c>
      <c r="C8" s="9" t="n">
        <v>19500</v>
      </c>
    </row>
    <row r="9" customFormat="false" ht="15" hidden="false" customHeight="true" outlineLevel="0" collapsed="false">
      <c r="A9" s="8" t="s">
        <v>58</v>
      </c>
      <c r="B9" s="8" t="s">
        <v>59</v>
      </c>
      <c r="C9" s="9" t="n">
        <v>800</v>
      </c>
    </row>
    <row r="10" customFormat="false" ht="15" hidden="false" customHeight="true" outlineLevel="0" collapsed="false">
      <c r="A10" s="8" t="s">
        <v>60</v>
      </c>
      <c r="B10" s="8" t="s">
        <v>61</v>
      </c>
      <c r="C10" s="9" t="n">
        <v>25500</v>
      </c>
    </row>
    <row r="11" customFormat="false" ht="15" hidden="false" customHeight="true" outlineLevel="0" collapsed="false">
      <c r="A11" s="8" t="s">
        <v>62</v>
      </c>
      <c r="B11" s="8" t="s">
        <v>63</v>
      </c>
      <c r="C11" s="9" t="n">
        <v>5900</v>
      </c>
    </row>
    <row r="12" customFormat="false" ht="15" hidden="false" customHeight="true" outlineLevel="0" collapsed="false">
      <c r="A12" s="8" t="s">
        <v>64</v>
      </c>
      <c r="B12" s="8" t="s">
        <v>65</v>
      </c>
      <c r="C12" s="9" t="n">
        <v>1</v>
      </c>
    </row>
    <row r="14" customFormat="false" ht="15" hidden="false" customHeight="true" outlineLevel="0" collapsed="false">
      <c r="A14" s="10"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E2" activePane="bottomRight" state="frozen"/>
      <selection pane="topLeft" activeCell="A1" activeCellId="0" sqref="A1"/>
      <selection pane="topRight" activeCell="E1" activeCellId="0" sqref="E1"/>
      <selection pane="bottomLeft" activeCell="A2" activeCellId="0" sqref="A2"/>
      <selection pane="bottomRight" activeCell="Q14" activeCellId="0" sqref="Q14"/>
    </sheetView>
  </sheetViews>
  <sheetFormatPr defaultColWidth="8.66796875" defaultRowHeight="15" zeroHeight="false" outlineLevelRow="0" outlineLevelCol="0"/>
  <cols>
    <col collapsed="false" customWidth="true" hidden="false" outlineLevel="0" max="3" min="1" style="1" width="12"/>
    <col collapsed="false" customWidth="true" hidden="false" outlineLevel="0" max="4" min="4" style="1" width="26"/>
    <col collapsed="false" customWidth="true" hidden="false" outlineLevel="0" max="5" min="5" style="1" width="24"/>
    <col collapsed="false" customWidth="true" hidden="false" outlineLevel="0" max="6" min="6" style="1" width="14"/>
    <col collapsed="false" customWidth="true" hidden="false" outlineLevel="0" max="7" min="7" style="1" width="30"/>
    <col collapsed="false" customWidth="true" hidden="false" outlineLevel="0" max="8" min="8" style="1" width="10"/>
    <col collapsed="false" customWidth="true" hidden="false" outlineLevel="0" max="12" min="9" style="1" width="15"/>
    <col collapsed="false" customWidth="true" hidden="false" outlineLevel="0" max="14" min="13" style="1" width="13"/>
    <col collapsed="false" customWidth="true" hidden="false" outlineLevel="0" max="16" min="15" style="1" width="12"/>
    <col collapsed="false" customWidth="true" hidden="false" outlineLevel="0" max="17" min="17" style="1" width="14"/>
    <col collapsed="false" customWidth="true" hidden="false" outlineLevel="0" max="18" min="18" style="1" width="13"/>
    <col collapsed="false" customWidth="true" hidden="false" outlineLevel="0" max="19" min="19" style="1" width="55"/>
    <col collapsed="false" customWidth="true" hidden="false" outlineLevel="0" max="20" min="20" style="1" width="16"/>
    <col collapsed="false" customWidth="true" hidden="false" outlineLevel="0" max="21" min="21" style="1" width="20"/>
    <col collapsed="false" customWidth="true" hidden="false" outlineLevel="0" max="22" min="22" style="1" width="45"/>
    <col collapsed="false" customWidth="true" hidden="false" outlineLevel="0" max="23" min="23" style="1" width="40"/>
    <col collapsed="false" customWidth="true" hidden="false" outlineLevel="0" max="25" min="24" style="1" width="14"/>
  </cols>
  <sheetData>
    <row r="1" customFormat="false" ht="31.5" hidden="false" customHeight="true" outlineLevel="0" collapsed="false">
      <c r="A1" s="11" t="s">
        <v>9</v>
      </c>
      <c r="B1" s="11" t="s">
        <v>67</v>
      </c>
      <c r="C1" s="11" t="s">
        <v>68</v>
      </c>
      <c r="D1" s="11" t="s">
        <v>69</v>
      </c>
      <c r="E1" s="11" t="s">
        <v>70</v>
      </c>
      <c r="F1" s="11" t="s">
        <v>11</v>
      </c>
      <c r="G1" s="11" t="s">
        <v>71</v>
      </c>
      <c r="H1" s="11" t="s">
        <v>72</v>
      </c>
      <c r="I1" s="11" t="s">
        <v>73</v>
      </c>
      <c r="J1" s="11" t="s">
        <v>74</v>
      </c>
      <c r="K1" s="11" t="s">
        <v>75</v>
      </c>
      <c r="L1" s="11" t="s">
        <v>76</v>
      </c>
      <c r="M1" s="11" t="s">
        <v>77</v>
      </c>
      <c r="N1" s="11" t="s">
        <v>78</v>
      </c>
      <c r="O1" s="11" t="s">
        <v>15</v>
      </c>
      <c r="P1" s="11" t="s">
        <v>17</v>
      </c>
      <c r="Q1" s="11" t="s">
        <v>79</v>
      </c>
      <c r="R1" s="11" t="s">
        <v>80</v>
      </c>
      <c r="S1" s="11" t="s">
        <v>21</v>
      </c>
      <c r="T1" s="11" t="s">
        <v>23</v>
      </c>
      <c r="U1" s="11" t="s">
        <v>25</v>
      </c>
      <c r="V1" s="11" t="s">
        <v>27</v>
      </c>
      <c r="W1" s="11" t="s">
        <v>81</v>
      </c>
      <c r="X1" s="11" t="s">
        <v>29</v>
      </c>
      <c r="Y1" s="12" t="s">
        <v>82</v>
      </c>
    </row>
    <row r="2" customFormat="false" ht="27.75" hidden="false" customHeight="true" outlineLevel="0" collapsed="false">
      <c r="A2" s="13" t="s">
        <v>83</v>
      </c>
      <c r="B2" s="13" t="s">
        <v>84</v>
      </c>
      <c r="C2" s="13" t="s">
        <v>85</v>
      </c>
      <c r="D2" s="13" t="s">
        <v>86</v>
      </c>
      <c r="E2" s="13" t="s">
        <v>87</v>
      </c>
      <c r="F2" s="13" t="s">
        <v>88</v>
      </c>
      <c r="G2" s="13" t="s">
        <v>89</v>
      </c>
      <c r="H2" s="13" t="s">
        <v>50</v>
      </c>
      <c r="I2" s="14" t="n">
        <v>45</v>
      </c>
      <c r="J2" s="14" t="n">
        <v>45</v>
      </c>
      <c r="K2" s="15" t="n">
        <f aca="false">IF(I2="","",IFERROR(I2*INDEX(rates!$C$5:$C$12,MATCH($H2,rates!$A$5:$A$12,0)),"check currency code"))</f>
        <v>35100</v>
      </c>
      <c r="L2" s="15" t="n">
        <f aca="false">IF(J2="","",IFERROR(J2*INDEX(rates!$C$5:$C$12,MATCH($H2,rates!$A$5:$A$12,0)),"check currency code"))</f>
        <v>35100</v>
      </c>
      <c r="M2" s="13" t="n">
        <v>30</v>
      </c>
      <c r="N2" s="13" t="n">
        <v>40</v>
      </c>
      <c r="O2" s="13" t="n">
        <v>3</v>
      </c>
      <c r="P2" s="13" t="s">
        <v>90</v>
      </c>
      <c r="Q2" s="16" t="s">
        <v>91</v>
      </c>
      <c r="R2" s="16" t="s">
        <v>92</v>
      </c>
      <c r="S2" s="13" t="s">
        <v>93</v>
      </c>
      <c r="T2" s="13" t="s">
        <v>94</v>
      </c>
      <c r="U2" s="13" t="n">
        <v>2</v>
      </c>
      <c r="V2" s="13" t="s">
        <v>95</v>
      </c>
      <c r="W2" s="13" t="s">
        <v>96</v>
      </c>
      <c r="X2" s="17" t="s">
        <v>97</v>
      </c>
      <c r="Y2" s="18" t="s">
        <v>98</v>
      </c>
    </row>
    <row r="3" customFormat="false" ht="27.75" hidden="false" customHeight="true" outlineLevel="0" collapsed="false">
      <c r="A3" s="19" t="s">
        <v>99</v>
      </c>
      <c r="B3" s="19" t="s">
        <v>84</v>
      </c>
      <c r="C3" s="19" t="s">
        <v>85</v>
      </c>
      <c r="D3" s="19" t="s">
        <v>86</v>
      </c>
      <c r="E3" s="19" t="s">
        <v>87</v>
      </c>
      <c r="F3" s="19" t="s">
        <v>88</v>
      </c>
      <c r="G3" s="19" t="s">
        <v>89</v>
      </c>
      <c r="H3" s="19" t="s">
        <v>50</v>
      </c>
      <c r="I3" s="14" t="n">
        <v>45</v>
      </c>
      <c r="J3" s="14" t="n">
        <v>45</v>
      </c>
      <c r="K3" s="20" t="n">
        <f aca="false">IF(I3="","",IFERROR(I3*INDEX(rates!$C$5:$C$12,MATCH($H3,rates!$A$5:$A$12,0)),"check currency code"))</f>
        <v>35100</v>
      </c>
      <c r="L3" s="20" t="n">
        <f aca="false">IF(J3="","",IFERROR(J3*INDEX(rates!$C$5:$C$12,MATCH($H3,rates!$A$5:$A$12,0)),"check currency code"))</f>
        <v>35100</v>
      </c>
      <c r="M3" s="13" t="n">
        <v>30</v>
      </c>
      <c r="N3" s="13" t="n">
        <v>40</v>
      </c>
      <c r="O3" s="13" t="n">
        <v>3</v>
      </c>
      <c r="P3" s="13" t="s">
        <v>90</v>
      </c>
      <c r="Q3" s="21" t="s">
        <v>91</v>
      </c>
      <c r="R3" s="21" t="s">
        <v>92</v>
      </c>
      <c r="S3" s="13" t="s">
        <v>93</v>
      </c>
      <c r="T3" s="13" t="s">
        <v>94</v>
      </c>
      <c r="U3" s="22" t="n">
        <v>2</v>
      </c>
      <c r="V3" s="13" t="s">
        <v>95</v>
      </c>
      <c r="W3" s="22" t="s">
        <v>100</v>
      </c>
      <c r="X3" s="23" t="s">
        <v>97</v>
      </c>
      <c r="Y3" s="18" t="s">
        <v>98</v>
      </c>
    </row>
    <row r="4" customFormat="false" ht="39" hidden="false" customHeight="true" outlineLevel="0" collapsed="false">
      <c r="A4" s="19" t="s">
        <v>101</v>
      </c>
      <c r="B4" s="19" t="s">
        <v>84</v>
      </c>
      <c r="C4" s="19" t="s">
        <v>85</v>
      </c>
      <c r="D4" s="19" t="s">
        <v>86</v>
      </c>
      <c r="E4" s="19" t="s">
        <v>102</v>
      </c>
      <c r="F4" s="19" t="s">
        <v>103</v>
      </c>
      <c r="G4" s="19" t="s">
        <v>104</v>
      </c>
      <c r="H4" s="19" t="s">
        <v>50</v>
      </c>
      <c r="I4" s="24" t="n">
        <v>60</v>
      </c>
      <c r="J4" s="24" t="n">
        <v>60</v>
      </c>
      <c r="K4" s="20" t="n">
        <f aca="false">IF(I4="","",IFERROR(I4*INDEX(rates!$C$5:$C$12,MATCH($H4,rates!$A$5:$A$12,0)),"check currency code"))</f>
        <v>46800</v>
      </c>
      <c r="L4" s="20" t="n">
        <f aca="false">IF(J4="","",IFERROR(J4*INDEX(rates!$C$5:$C$12,MATCH($H4,rates!$A$5:$A$12,0)),"check currency code"))</f>
        <v>46800</v>
      </c>
      <c r="M4" s="22" t="n">
        <v>60</v>
      </c>
      <c r="N4" s="22" t="n">
        <v>90</v>
      </c>
      <c r="O4" s="25" t="n">
        <v>1</v>
      </c>
      <c r="P4" s="26" t="s">
        <v>90</v>
      </c>
      <c r="Q4" s="21" t="s">
        <v>91</v>
      </c>
      <c r="R4" s="21" t="s">
        <v>105</v>
      </c>
      <c r="S4" s="22" t="s">
        <v>106</v>
      </c>
      <c r="T4" s="25" t="s">
        <v>94</v>
      </c>
      <c r="U4" s="27" t="n">
        <v>2</v>
      </c>
      <c r="V4" s="22" t="s">
        <v>107</v>
      </c>
      <c r="W4" s="22" t="s">
        <v>108</v>
      </c>
      <c r="X4" s="23" t="s">
        <v>97</v>
      </c>
      <c r="Y4" s="18" t="s">
        <v>98</v>
      </c>
    </row>
    <row r="5" customFormat="false" ht="63.75" hidden="false" customHeight="true" outlineLevel="0" collapsed="false">
      <c r="A5" s="19" t="s">
        <v>109</v>
      </c>
      <c r="B5" s="19" t="s">
        <v>84</v>
      </c>
      <c r="C5" s="19" t="s">
        <v>85</v>
      </c>
      <c r="D5" s="19" t="s">
        <v>86</v>
      </c>
      <c r="E5" s="19" t="s">
        <v>87</v>
      </c>
      <c r="F5" s="19" t="s">
        <v>110</v>
      </c>
      <c r="G5" s="19" t="s">
        <v>111</v>
      </c>
      <c r="H5" s="19" t="s">
        <v>50</v>
      </c>
      <c r="I5" s="24" t="n">
        <v>400</v>
      </c>
      <c r="J5" s="24" t="n">
        <v>600</v>
      </c>
      <c r="K5" s="20" t="n">
        <f aca="false">IF(I5="","",IFERROR(I5*INDEX(rates!$C$5:$C$12,MATCH($H5,rates!$A$5:$A$12,0)),"check currency code"))</f>
        <v>312000</v>
      </c>
      <c r="L5" s="20" t="n">
        <f aca="false">IF(J5="","",IFERROR(J5*INDEX(rates!$C$5:$C$12,MATCH($H5,rates!$A$5:$A$12,0)),"check currency code"))</f>
        <v>468000</v>
      </c>
      <c r="M5" s="25" t="n">
        <v>45</v>
      </c>
      <c r="N5" s="25" t="n">
        <v>60</v>
      </c>
      <c r="O5" s="25" t="n">
        <v>4</v>
      </c>
      <c r="P5" s="26" t="s">
        <v>112</v>
      </c>
      <c r="Q5" s="21" t="s">
        <v>113</v>
      </c>
      <c r="R5" s="21" t="s">
        <v>92</v>
      </c>
      <c r="S5" s="22" t="s">
        <v>114</v>
      </c>
      <c r="T5" s="13" t="s">
        <v>94</v>
      </c>
      <c r="U5" s="22" t="n">
        <v>4</v>
      </c>
      <c r="V5" s="22" t="s">
        <v>115</v>
      </c>
      <c r="W5" s="22" t="s">
        <v>116</v>
      </c>
      <c r="X5" s="23" t="s">
        <v>97</v>
      </c>
      <c r="Y5" s="18" t="s">
        <v>117</v>
      </c>
    </row>
    <row r="6" customFormat="false" ht="46.5" hidden="false" customHeight="true" outlineLevel="0" collapsed="false">
      <c r="A6" s="19" t="s">
        <v>118</v>
      </c>
      <c r="B6" s="19" t="s">
        <v>84</v>
      </c>
      <c r="C6" s="19" t="s">
        <v>85</v>
      </c>
      <c r="D6" s="19" t="s">
        <v>86</v>
      </c>
      <c r="E6" s="19" t="s">
        <v>87</v>
      </c>
      <c r="F6" s="19" t="s">
        <v>119</v>
      </c>
      <c r="G6" s="19" t="s">
        <v>120</v>
      </c>
      <c r="H6" s="19" t="s">
        <v>50</v>
      </c>
      <c r="I6" s="24" t="n">
        <v>450</v>
      </c>
      <c r="J6" s="24" t="n">
        <v>700</v>
      </c>
      <c r="K6" s="20" t="n">
        <f aca="false">IF(I6="","",IFERROR(I6*INDEX(rates!$C$5:$C$12,MATCH($H6,rates!$A$5:$A$12,0)),"check currency code"))</f>
        <v>351000</v>
      </c>
      <c r="L6" s="20" t="n">
        <f aca="false">IF(J6="","",IFERROR(J6*INDEX(rates!$C$5:$C$12,MATCH($H6,rates!$A$5:$A$12,0)),"check currency code"))</f>
        <v>546000</v>
      </c>
      <c r="M6" s="25" t="n">
        <v>45</v>
      </c>
      <c r="N6" s="25" t="n">
        <v>60</v>
      </c>
      <c r="O6" s="25" t="n">
        <v>4</v>
      </c>
      <c r="P6" s="26" t="s">
        <v>112</v>
      </c>
      <c r="Q6" s="21" t="s">
        <v>113</v>
      </c>
      <c r="R6" s="21" t="s">
        <v>92</v>
      </c>
      <c r="S6" s="28" t="s">
        <v>121</v>
      </c>
      <c r="T6" s="22" t="s">
        <v>120</v>
      </c>
      <c r="U6" s="22" t="n">
        <v>1</v>
      </c>
      <c r="V6" s="28" t="s">
        <v>122</v>
      </c>
      <c r="W6" s="28" t="s">
        <v>123</v>
      </c>
      <c r="X6" s="23" t="s">
        <v>97</v>
      </c>
      <c r="Y6" s="18" t="s">
        <v>117</v>
      </c>
    </row>
    <row r="7" customFormat="false" ht="42" hidden="false" customHeight="true" outlineLevel="0" collapsed="false">
      <c r="A7" s="19" t="s">
        <v>124</v>
      </c>
      <c r="B7" s="19" t="s">
        <v>84</v>
      </c>
      <c r="C7" s="19" t="s">
        <v>85</v>
      </c>
      <c r="D7" s="19" t="s">
        <v>86</v>
      </c>
      <c r="E7" s="19" t="s">
        <v>87</v>
      </c>
      <c r="F7" s="19" t="s">
        <v>125</v>
      </c>
      <c r="G7" s="19" t="s">
        <v>126</v>
      </c>
      <c r="H7" s="19" t="s">
        <v>50</v>
      </c>
      <c r="I7" s="24" t="n">
        <v>800</v>
      </c>
      <c r="J7" s="24" t="n">
        <v>1200</v>
      </c>
      <c r="K7" s="20" t="n">
        <f aca="false">IF(I7="","",IFERROR(I7*INDEX(rates!$C$5:$C$12,MATCH($H7,rates!$A$5:$A$12,0)),"check currency code"))</f>
        <v>624000</v>
      </c>
      <c r="L7" s="20" t="n">
        <f aca="false">IF(J7="","",IFERROR(J7*INDEX(rates!$C$5:$C$12,MATCH($H7,rates!$A$5:$A$12,0)),"check currency code"))</f>
        <v>936000</v>
      </c>
      <c r="M7" s="22" t="n">
        <v>45</v>
      </c>
      <c r="N7" s="22" t="n">
        <v>60</v>
      </c>
      <c r="O7" s="25" t="n">
        <v>5</v>
      </c>
      <c r="P7" s="26" t="s">
        <v>112</v>
      </c>
      <c r="Q7" s="21" t="s">
        <v>113</v>
      </c>
      <c r="R7" s="21" t="s">
        <v>92</v>
      </c>
      <c r="S7" s="28" t="s">
        <v>127</v>
      </c>
      <c r="T7" s="22" t="s">
        <v>94</v>
      </c>
      <c r="U7" s="22" t="n">
        <v>1</v>
      </c>
      <c r="V7" s="28" t="s">
        <v>128</v>
      </c>
      <c r="W7" s="28" t="s">
        <v>129</v>
      </c>
      <c r="X7" s="23" t="s">
        <v>97</v>
      </c>
      <c r="Y7" s="18" t="s">
        <v>117</v>
      </c>
    </row>
    <row r="8" customFormat="false" ht="67.5" hidden="false" customHeight="true" outlineLevel="0" collapsed="false">
      <c r="A8" s="19" t="s">
        <v>130</v>
      </c>
      <c r="B8" s="19" t="s">
        <v>84</v>
      </c>
      <c r="C8" s="19" t="s">
        <v>85</v>
      </c>
      <c r="D8" s="19" t="s">
        <v>131</v>
      </c>
      <c r="E8" s="19" t="s">
        <v>132</v>
      </c>
      <c r="F8" s="19" t="s">
        <v>103</v>
      </c>
      <c r="G8" s="19" t="s">
        <v>133</v>
      </c>
      <c r="H8" s="19" t="s">
        <v>50</v>
      </c>
      <c r="I8" s="24" t="n">
        <v>30</v>
      </c>
      <c r="J8" s="24" t="n">
        <v>30</v>
      </c>
      <c r="K8" s="20" t="n">
        <f aca="false">IF(I8="","",IFERROR(I8*INDEX(rates!$C$5:$C$12,MATCH($H8,rates!$A$5:$A$12,0)),"check currency code"))</f>
        <v>23400</v>
      </c>
      <c r="L8" s="20" t="n">
        <f aca="false">IF(J8="","",IFERROR(J8*INDEX(rates!$C$5:$C$12,MATCH($H8,rates!$A$5:$A$12,0)),"check currency code"))</f>
        <v>23400</v>
      </c>
      <c r="M8" s="28" t="n">
        <v>23</v>
      </c>
      <c r="N8" s="28" t="n">
        <v>45</v>
      </c>
      <c r="O8" s="28" t="n">
        <v>2</v>
      </c>
      <c r="P8" s="26" t="s">
        <v>90</v>
      </c>
      <c r="Q8" s="21" t="s">
        <v>134</v>
      </c>
      <c r="R8" s="21" t="s">
        <v>92</v>
      </c>
      <c r="S8" s="28" t="s">
        <v>135</v>
      </c>
      <c r="T8" s="13" t="s">
        <v>94</v>
      </c>
      <c r="U8" s="28" t="n">
        <v>3</v>
      </c>
      <c r="V8" s="28" t="s">
        <v>136</v>
      </c>
      <c r="W8" s="28" t="s">
        <v>137</v>
      </c>
      <c r="X8" s="23" t="s">
        <v>97</v>
      </c>
      <c r="Y8" s="18" t="s">
        <v>98</v>
      </c>
    </row>
    <row r="9" customFormat="false" ht="58.5" hidden="false" customHeight="true" outlineLevel="0" collapsed="false">
      <c r="A9" s="19" t="s">
        <v>138</v>
      </c>
      <c r="B9" s="19" t="s">
        <v>84</v>
      </c>
      <c r="C9" s="19" t="s">
        <v>85</v>
      </c>
      <c r="D9" s="19" t="s">
        <v>131</v>
      </c>
      <c r="E9" s="19" t="s">
        <v>139</v>
      </c>
      <c r="F9" s="19" t="s">
        <v>88</v>
      </c>
      <c r="G9" s="19" t="s">
        <v>140</v>
      </c>
      <c r="H9" s="19" t="s">
        <v>50</v>
      </c>
      <c r="I9" s="29" t="n">
        <v>33</v>
      </c>
      <c r="J9" s="29" t="n">
        <v>33</v>
      </c>
      <c r="K9" s="20" t="n">
        <f aca="false">IF(I9="","",IFERROR(I9*INDEX(rates!$C$5:$C$12,MATCH($H9,rates!$A$5:$A$12,0)),"check currency code"))</f>
        <v>25740</v>
      </c>
      <c r="L9" s="20" t="n">
        <f aca="false">IF(J9="","",IFERROR(J9*INDEX(rates!$C$5:$C$12,MATCH($H9,rates!$A$5:$A$12,0)),"check currency code"))</f>
        <v>25740</v>
      </c>
      <c r="M9" s="28" t="n">
        <v>17</v>
      </c>
      <c r="N9" s="28" t="n">
        <v>20</v>
      </c>
      <c r="O9" s="28" t="n">
        <v>3</v>
      </c>
      <c r="P9" s="26" t="s">
        <v>90</v>
      </c>
      <c r="Q9" s="21" t="s">
        <v>141</v>
      </c>
      <c r="R9" s="21" t="s">
        <v>92</v>
      </c>
      <c r="S9" s="28" t="s">
        <v>142</v>
      </c>
      <c r="T9" s="13" t="s">
        <v>94</v>
      </c>
      <c r="U9" s="28" t="n">
        <v>2</v>
      </c>
      <c r="V9" s="28" t="s">
        <v>143</v>
      </c>
      <c r="W9" s="28" t="s">
        <v>144</v>
      </c>
      <c r="X9" s="23" t="s">
        <v>97</v>
      </c>
      <c r="Y9" s="18" t="s">
        <v>98</v>
      </c>
    </row>
    <row r="10" customFormat="false" ht="42" hidden="false" customHeight="true" outlineLevel="0" collapsed="false">
      <c r="A10" s="19" t="s">
        <v>145</v>
      </c>
      <c r="B10" s="19" t="s">
        <v>84</v>
      </c>
      <c r="C10" s="19" t="s">
        <v>85</v>
      </c>
      <c r="D10" s="19" t="s">
        <v>131</v>
      </c>
      <c r="E10" s="19" t="s">
        <v>102</v>
      </c>
      <c r="F10" s="19" t="s">
        <v>110</v>
      </c>
      <c r="G10" s="19" t="s">
        <v>111</v>
      </c>
      <c r="H10" s="19" t="s">
        <v>50</v>
      </c>
      <c r="I10" s="24" t="n">
        <v>400</v>
      </c>
      <c r="J10" s="24" t="n">
        <v>500</v>
      </c>
      <c r="K10" s="20" t="n">
        <f aca="false">IF(I10="","",IFERROR(I10*INDEX(rates!$C$5:$C$12,MATCH($H10,rates!$A$5:$A$12,0)),"check currency code"))</f>
        <v>312000</v>
      </c>
      <c r="L10" s="20" t="n">
        <f aca="false">IF(J10="","",IFERROR(J10*INDEX(rates!$C$5:$C$12,MATCH($H10,rates!$A$5:$A$12,0)),"check currency code"))</f>
        <v>390000</v>
      </c>
      <c r="M10" s="25" t="n">
        <v>20</v>
      </c>
      <c r="N10" s="25" t="n">
        <v>30</v>
      </c>
      <c r="O10" s="28" t="n">
        <v>4</v>
      </c>
      <c r="P10" s="26" t="s">
        <v>112</v>
      </c>
      <c r="Q10" s="21" t="s">
        <v>113</v>
      </c>
      <c r="R10" s="21" t="s">
        <v>92</v>
      </c>
      <c r="S10" s="28" t="s">
        <v>146</v>
      </c>
      <c r="T10" s="13" t="s">
        <v>94</v>
      </c>
      <c r="U10" s="25" t="n">
        <v>4</v>
      </c>
      <c r="V10" s="28" t="s">
        <v>147</v>
      </c>
      <c r="W10" s="25" t="s">
        <v>148</v>
      </c>
      <c r="X10" s="23" t="s">
        <v>97</v>
      </c>
      <c r="Y10" s="18" t="s">
        <v>117</v>
      </c>
    </row>
    <row r="11" customFormat="false" ht="54" hidden="false" customHeight="true" outlineLevel="0" collapsed="false">
      <c r="A11" s="19" t="s">
        <v>149</v>
      </c>
      <c r="B11" s="19" t="s">
        <v>150</v>
      </c>
      <c r="C11" s="19" t="s">
        <v>151</v>
      </c>
      <c r="D11" s="19" t="s">
        <v>152</v>
      </c>
      <c r="E11" s="19" t="s">
        <v>153</v>
      </c>
      <c r="F11" s="19" t="s">
        <v>88</v>
      </c>
      <c r="G11" s="19" t="s">
        <v>154</v>
      </c>
      <c r="H11" s="19" t="s">
        <v>52</v>
      </c>
      <c r="I11" s="29" t="n">
        <v>11500</v>
      </c>
      <c r="J11" s="29" t="n">
        <v>13000</v>
      </c>
      <c r="K11" s="30" t="n">
        <f aca="false">IF(I11="","",IFERROR(I11*INDEX(rates!$C$5:$C$12,MATCH($H11,rates!$A$5:$A$12,0)),"check currency code"))</f>
        <v>218500</v>
      </c>
      <c r="L11" s="20" t="n">
        <f aca="false">IF(J11="","",IFERROR(J11*INDEX(rates!$C$5:$C$12,MATCH($H11,rates!$A$5:$A$12,0)),"check currency code"))</f>
        <v>247000</v>
      </c>
      <c r="M11" s="25" t="n">
        <v>43</v>
      </c>
      <c r="N11" s="25" t="n">
        <v>51</v>
      </c>
      <c r="O11" s="28" t="n">
        <v>4</v>
      </c>
      <c r="P11" s="28" t="s">
        <v>112</v>
      </c>
      <c r="Q11" s="23" t="s">
        <v>155</v>
      </c>
      <c r="R11" s="23" t="s">
        <v>156</v>
      </c>
      <c r="S11" s="31" t="s">
        <v>157</v>
      </c>
      <c r="T11" s="28" t="s">
        <v>94</v>
      </c>
      <c r="U11" s="28" t="n">
        <v>2</v>
      </c>
      <c r="V11" s="28" t="s">
        <v>158</v>
      </c>
      <c r="W11" s="31" t="s">
        <v>159</v>
      </c>
      <c r="X11" s="23" t="s">
        <v>97</v>
      </c>
      <c r="Y11" s="18" t="s">
        <v>98</v>
      </c>
    </row>
    <row r="12" customFormat="false" ht="91.5" hidden="false" customHeight="true" outlineLevel="0" collapsed="false">
      <c r="A12" s="19" t="s">
        <v>160</v>
      </c>
      <c r="B12" s="19" t="s">
        <v>150</v>
      </c>
      <c r="C12" s="19" t="s">
        <v>151</v>
      </c>
      <c r="D12" s="19" t="s">
        <v>152</v>
      </c>
      <c r="E12" s="19" t="s">
        <v>161</v>
      </c>
      <c r="F12" s="19" t="s">
        <v>88</v>
      </c>
      <c r="G12" s="19" t="s">
        <v>162</v>
      </c>
      <c r="H12" s="19" t="s">
        <v>52</v>
      </c>
      <c r="I12" s="24" t="n">
        <v>4150</v>
      </c>
      <c r="J12" s="24" t="n">
        <v>4150</v>
      </c>
      <c r="K12" s="20" t="n">
        <f aca="false">IF(I12="","",IFERROR(I12*INDEX(rates!$C$5:$C$12,MATCH($H12,rates!$A$5:$A$12,0)),"check currency code"))</f>
        <v>78850</v>
      </c>
      <c r="L12" s="20" t="n">
        <f aca="false">IF(J12="","",IFERROR(J12*INDEX(rates!$C$5:$C$12,MATCH($H12,rates!$A$5:$A$12,0)),"check currency code"))</f>
        <v>78850</v>
      </c>
      <c r="M12" s="25" t="n">
        <v>59</v>
      </c>
      <c r="N12" s="25" t="n">
        <v>66</v>
      </c>
      <c r="O12" s="28" t="n">
        <v>2</v>
      </c>
      <c r="P12" s="28" t="s">
        <v>90</v>
      </c>
      <c r="Q12" s="23" t="s">
        <v>163</v>
      </c>
      <c r="R12" s="23" t="s">
        <v>164</v>
      </c>
      <c r="S12" s="32" t="s">
        <v>165</v>
      </c>
      <c r="T12" s="28" t="s">
        <v>94</v>
      </c>
      <c r="U12" s="28" t="n">
        <v>2</v>
      </c>
      <c r="V12" s="28" t="s">
        <v>166</v>
      </c>
      <c r="W12" s="33" t="s">
        <v>167</v>
      </c>
      <c r="X12" s="23" t="s">
        <v>97</v>
      </c>
      <c r="Y12" s="18" t="s">
        <v>98</v>
      </c>
    </row>
    <row r="13" customFormat="false" ht="121.5" hidden="false" customHeight="true" outlineLevel="0" collapsed="false">
      <c r="A13" s="19" t="s">
        <v>168</v>
      </c>
      <c r="B13" s="19" t="s">
        <v>150</v>
      </c>
      <c r="C13" s="19" t="s">
        <v>151</v>
      </c>
      <c r="D13" s="19" t="s">
        <v>152</v>
      </c>
      <c r="E13" s="19" t="s">
        <v>169</v>
      </c>
      <c r="F13" s="19" t="s">
        <v>103</v>
      </c>
      <c r="G13" s="19" t="s">
        <v>170</v>
      </c>
      <c r="H13" s="19" t="s">
        <v>52</v>
      </c>
      <c r="I13" s="29" t="n">
        <v>17000</v>
      </c>
      <c r="J13" s="29" t="n">
        <v>17000</v>
      </c>
      <c r="K13" s="20" t="n">
        <f aca="false">IF(I13="","",IFERROR(I13*INDEX(rates!$C$5:$C$12,MATCH($H13,rates!$A$5:$A$12,0)),"check currency code"))</f>
        <v>323000</v>
      </c>
      <c r="L13" s="20" t="n">
        <f aca="false">IF(J13="","",IFERROR(J13*INDEX(rates!$C$5:$C$12,MATCH($H13,rates!$A$5:$A$12,0)),"check currency code"))</f>
        <v>323000</v>
      </c>
      <c r="M13" s="25" t="n">
        <v>60</v>
      </c>
      <c r="N13" s="25" t="n">
        <v>90</v>
      </c>
      <c r="O13" s="28" t="n">
        <v>4</v>
      </c>
      <c r="P13" s="28" t="s">
        <v>112</v>
      </c>
      <c r="Q13" s="23" t="s">
        <v>163</v>
      </c>
      <c r="R13" s="23" t="s">
        <v>171</v>
      </c>
      <c r="S13" s="28" t="s">
        <v>172</v>
      </c>
      <c r="T13" s="28" t="s">
        <v>94</v>
      </c>
      <c r="U13" s="28" t="n">
        <v>2</v>
      </c>
      <c r="V13" s="28" t="s">
        <v>173</v>
      </c>
      <c r="W13" s="34" t="s">
        <v>174</v>
      </c>
      <c r="X13" s="23" t="s">
        <v>97</v>
      </c>
      <c r="Y13" s="18" t="s">
        <v>98</v>
      </c>
    </row>
    <row r="14" customFormat="false" ht="75" hidden="false" customHeight="true" outlineLevel="0" collapsed="false">
      <c r="A14" s="19" t="s">
        <v>175</v>
      </c>
      <c r="B14" s="19" t="s">
        <v>150</v>
      </c>
      <c r="C14" s="19" t="s">
        <v>151</v>
      </c>
      <c r="D14" s="19" t="s">
        <v>152</v>
      </c>
      <c r="E14" s="19" t="s">
        <v>169</v>
      </c>
      <c r="F14" s="19" t="s">
        <v>110</v>
      </c>
      <c r="G14" s="19" t="s">
        <v>176</v>
      </c>
      <c r="H14" s="19" t="s">
        <v>52</v>
      </c>
      <c r="I14" s="24" t="n">
        <v>60000</v>
      </c>
      <c r="J14" s="24" t="n">
        <v>100000</v>
      </c>
      <c r="K14" s="20" t="n">
        <f aca="false">IF(I14="","",IFERROR(I14*INDEX(rates!$C$5:$C$12,MATCH($H14,rates!$A$5:$A$12,0)),"check currency code"))</f>
        <v>1140000</v>
      </c>
      <c r="L14" s="20" t="n">
        <f aca="false">IF(J14="","",IFERROR(J14*INDEX(rates!$C$5:$C$12,MATCH($H14,rates!$A$5:$A$12,0)),"check currency code"))</f>
        <v>1900000</v>
      </c>
      <c r="M14" s="25" t="n">
        <v>60</v>
      </c>
      <c r="N14" s="25" t="n">
        <v>80</v>
      </c>
      <c r="O14" s="25" t="n">
        <v>4</v>
      </c>
      <c r="P14" s="26" t="s">
        <v>112</v>
      </c>
      <c r="Q14" s="23" t="s">
        <v>113</v>
      </c>
      <c r="R14" s="21" t="s">
        <v>92</v>
      </c>
      <c r="S14" s="28" t="s">
        <v>177</v>
      </c>
      <c r="T14" s="28" t="s">
        <v>94</v>
      </c>
      <c r="U14" s="25" t="n">
        <v>4</v>
      </c>
      <c r="V14" s="28" t="s">
        <v>178</v>
      </c>
      <c r="W14" s="31" t="s">
        <v>179</v>
      </c>
      <c r="X14" s="23" t="s">
        <v>97</v>
      </c>
      <c r="Y14" s="18" t="s">
        <v>117</v>
      </c>
    </row>
    <row r="15" customFormat="false" ht="63" hidden="false" customHeight="true" outlineLevel="0" collapsed="false">
      <c r="A15" s="19" t="s">
        <v>180</v>
      </c>
      <c r="B15" s="19" t="s">
        <v>150</v>
      </c>
      <c r="C15" s="19" t="s">
        <v>151</v>
      </c>
      <c r="D15" s="19" t="s">
        <v>152</v>
      </c>
      <c r="E15" s="19" t="s">
        <v>169</v>
      </c>
      <c r="F15" s="19" t="s">
        <v>119</v>
      </c>
      <c r="G15" s="19" t="s">
        <v>181</v>
      </c>
      <c r="H15" s="19" t="s">
        <v>52</v>
      </c>
      <c r="I15" s="24" t="n">
        <v>65000</v>
      </c>
      <c r="J15" s="24" t="n">
        <v>80000</v>
      </c>
      <c r="K15" s="20" t="n">
        <f aca="false">IF(I15="","",IFERROR(I15*INDEX(rates!$C$5:$C$12,MATCH($H15,rates!$A$5:$A$12,0)),"check currency code"))</f>
        <v>1235000</v>
      </c>
      <c r="L15" s="20" t="n">
        <f aca="false">IF(J15="","",IFERROR(J15*INDEX(rates!$C$5:$C$12,MATCH($H15,rates!$A$5:$A$12,0)),"check currency code"))</f>
        <v>1520000</v>
      </c>
      <c r="M15" s="25" t="n">
        <v>50</v>
      </c>
      <c r="N15" s="25" t="n">
        <v>70</v>
      </c>
      <c r="O15" s="25" t="n">
        <v>4</v>
      </c>
      <c r="P15" s="26" t="s">
        <v>112</v>
      </c>
      <c r="Q15" s="23" t="s">
        <v>113</v>
      </c>
      <c r="R15" s="21" t="s">
        <v>92</v>
      </c>
      <c r="S15" s="28" t="s">
        <v>182</v>
      </c>
      <c r="T15" s="19" t="s">
        <v>181</v>
      </c>
      <c r="U15" s="28" t="n">
        <v>2</v>
      </c>
      <c r="V15" s="28" t="s">
        <v>183</v>
      </c>
      <c r="W15" s="31" t="s">
        <v>179</v>
      </c>
      <c r="X15" s="23" t="s">
        <v>97</v>
      </c>
      <c r="Y15" s="18" t="s">
        <v>117</v>
      </c>
    </row>
    <row r="16" customFormat="false" ht="45.75" hidden="false" customHeight="true" outlineLevel="0" collapsed="false">
      <c r="A16" s="28" t="s">
        <v>184</v>
      </c>
      <c r="B16" s="28" t="s">
        <v>185</v>
      </c>
      <c r="C16" s="28" t="s">
        <v>185</v>
      </c>
      <c r="D16" s="28" t="s">
        <v>186</v>
      </c>
      <c r="E16" s="28" t="s">
        <v>187</v>
      </c>
      <c r="F16" s="28" t="s">
        <v>188</v>
      </c>
      <c r="G16" s="28" t="s">
        <v>189</v>
      </c>
      <c r="H16" s="28" t="s">
        <v>56</v>
      </c>
      <c r="I16" s="29" t="n">
        <v>2</v>
      </c>
      <c r="J16" s="29" t="n">
        <v>2.5</v>
      </c>
      <c r="K16" s="30" t="n">
        <f aca="false">IF(I16="","",IFERROR(I16*INDEX(rates!$C$5:$C$12,MATCH($H16,rates!$A$5:$A$12,0)),"check currency code"))</f>
        <v>39000</v>
      </c>
      <c r="L16" s="30" t="n">
        <f aca="false">IF(J16="","",IFERROR(J16*INDEX(rates!$C$5:$C$12,MATCH($H16,rates!$A$5:$A$12,0)),"check currency code"))</f>
        <v>48750</v>
      </c>
      <c r="M16" s="28" t="n">
        <v>35</v>
      </c>
      <c r="N16" s="28" t="n">
        <v>50</v>
      </c>
      <c r="O16" s="28" t="n">
        <v>3</v>
      </c>
      <c r="P16" s="28" t="s">
        <v>90</v>
      </c>
      <c r="Q16" s="23" t="s">
        <v>141</v>
      </c>
      <c r="R16" s="23" t="s">
        <v>190</v>
      </c>
      <c r="S16" s="28" t="s">
        <v>191</v>
      </c>
      <c r="T16" s="28" t="s">
        <v>94</v>
      </c>
      <c r="U16" s="28" t="n">
        <v>1</v>
      </c>
      <c r="V16" s="28" t="s">
        <v>192</v>
      </c>
      <c r="W16" s="28" t="s">
        <v>193</v>
      </c>
      <c r="X16" s="23" t="s">
        <v>97</v>
      </c>
      <c r="Y16" s="18" t="s">
        <v>98</v>
      </c>
    </row>
    <row r="17" customFormat="false" ht="34.5" hidden="false" customHeight="true" outlineLevel="0" collapsed="false">
      <c r="A17" s="28" t="s">
        <v>194</v>
      </c>
      <c r="B17" s="28" t="s">
        <v>185</v>
      </c>
      <c r="C17" s="28" t="s">
        <v>185</v>
      </c>
      <c r="D17" s="28" t="s">
        <v>186</v>
      </c>
      <c r="E17" s="28" t="s">
        <v>195</v>
      </c>
      <c r="F17" s="28" t="s">
        <v>103</v>
      </c>
      <c r="G17" s="28" t="s">
        <v>196</v>
      </c>
      <c r="H17" s="28" t="s">
        <v>56</v>
      </c>
      <c r="I17" s="29" t="n">
        <v>2</v>
      </c>
      <c r="J17" s="29" t="n">
        <v>2.5</v>
      </c>
      <c r="K17" s="30" t="n">
        <f aca="false">IF(I17="","",IFERROR(I17*INDEX(rates!$C$5:$C$12,MATCH($H17,rates!$A$5:$A$12,0)),"check currency code"))</f>
        <v>39000</v>
      </c>
      <c r="L17" s="30" t="n">
        <f aca="false">IF(J17="","",IFERROR(J17*INDEX(rates!$C$5:$C$12,MATCH($H17,rates!$A$5:$A$12,0)),"check currency code"))</f>
        <v>48750</v>
      </c>
      <c r="M17" s="28" t="n">
        <v>60</v>
      </c>
      <c r="N17" s="28" t="n">
        <v>80</v>
      </c>
      <c r="O17" s="28" t="n">
        <v>1</v>
      </c>
      <c r="P17" s="28" t="s">
        <v>197</v>
      </c>
      <c r="Q17" s="23" t="s">
        <v>91</v>
      </c>
      <c r="R17" s="23" t="s">
        <v>198</v>
      </c>
      <c r="S17" s="28" t="s">
        <v>199</v>
      </c>
      <c r="T17" s="28" t="s">
        <v>94</v>
      </c>
      <c r="U17" s="28" t="n">
        <v>2</v>
      </c>
      <c r="V17" s="28" t="s">
        <v>200</v>
      </c>
      <c r="W17" s="28" t="s">
        <v>201</v>
      </c>
      <c r="X17" s="23" t="s">
        <v>97</v>
      </c>
      <c r="Y17" s="18" t="s">
        <v>98</v>
      </c>
    </row>
    <row r="18" customFormat="false" ht="45.75" hidden="false" customHeight="true" outlineLevel="0" collapsed="false">
      <c r="A18" s="28" t="s">
        <v>202</v>
      </c>
      <c r="B18" s="28" t="s">
        <v>185</v>
      </c>
      <c r="C18" s="28" t="s">
        <v>185</v>
      </c>
      <c r="D18" s="28" t="s">
        <v>186</v>
      </c>
      <c r="E18" s="28" t="s">
        <v>187</v>
      </c>
      <c r="F18" s="28" t="s">
        <v>110</v>
      </c>
      <c r="G18" s="28" t="s">
        <v>203</v>
      </c>
      <c r="H18" s="28" t="s">
        <v>56</v>
      </c>
      <c r="I18" s="29" t="n">
        <v>28</v>
      </c>
      <c r="J18" s="29" t="n">
        <v>55</v>
      </c>
      <c r="K18" s="30" t="n">
        <f aca="false">IF(I18="","",IFERROR(I18*INDEX(rates!$C$5:$C$12,MATCH($H18,rates!$A$5:$A$12,0)),"check currency code"))</f>
        <v>546000</v>
      </c>
      <c r="L18" s="30" t="n">
        <f aca="false">IF(J18="","",IFERROR(J18*INDEX(rates!$C$5:$C$12,MATCH($H18,rates!$A$5:$A$12,0)),"check currency code"))</f>
        <v>1072500</v>
      </c>
      <c r="M18" s="28" t="n">
        <v>25</v>
      </c>
      <c r="N18" s="28" t="n">
        <v>40</v>
      </c>
      <c r="O18" s="28" t="n">
        <v>4</v>
      </c>
      <c r="P18" s="28" t="s">
        <v>112</v>
      </c>
      <c r="Q18" s="23" t="s">
        <v>113</v>
      </c>
      <c r="R18" s="23" t="s">
        <v>92</v>
      </c>
      <c r="S18" s="28" t="s">
        <v>204</v>
      </c>
      <c r="T18" s="28" t="s">
        <v>94</v>
      </c>
      <c r="U18" s="28" t="n">
        <v>2</v>
      </c>
      <c r="V18" s="28" t="s">
        <v>205</v>
      </c>
      <c r="W18" s="28" t="s">
        <v>206</v>
      </c>
      <c r="X18" s="23" t="s">
        <v>97</v>
      </c>
      <c r="Y18" s="18" t="s">
        <v>117</v>
      </c>
    </row>
    <row r="19" customFormat="false" ht="57" hidden="false" customHeight="true" outlineLevel="0" collapsed="false">
      <c r="A19" s="28" t="s">
        <v>207</v>
      </c>
      <c r="B19" s="28" t="s">
        <v>185</v>
      </c>
      <c r="C19" s="28" t="s">
        <v>185</v>
      </c>
      <c r="D19" s="28" t="s">
        <v>186</v>
      </c>
      <c r="E19" s="28" t="s">
        <v>187</v>
      </c>
      <c r="F19" s="28" t="s">
        <v>119</v>
      </c>
      <c r="G19" s="28" t="s">
        <v>120</v>
      </c>
      <c r="H19" s="28" t="s">
        <v>56</v>
      </c>
      <c r="I19" s="29" t="n">
        <v>22</v>
      </c>
      <c r="J19" s="29" t="n">
        <v>45</v>
      </c>
      <c r="K19" s="30" t="n">
        <f aca="false">IF(I19="","",IFERROR(I19*INDEX(rates!$C$5:$C$12,MATCH($H19,rates!$A$5:$A$12,0)),"check currency code"))</f>
        <v>429000</v>
      </c>
      <c r="L19" s="30" t="n">
        <f aca="false">IF(J19="","",IFERROR(J19*INDEX(rates!$C$5:$C$12,MATCH($H19,rates!$A$5:$A$12,0)),"check currency code"))</f>
        <v>877500</v>
      </c>
      <c r="M19" s="28" t="n">
        <v>25</v>
      </c>
      <c r="N19" s="28" t="n">
        <v>40</v>
      </c>
      <c r="O19" s="28" t="n">
        <v>4</v>
      </c>
      <c r="P19" s="28" t="s">
        <v>112</v>
      </c>
      <c r="Q19" s="23" t="s">
        <v>113</v>
      </c>
      <c r="R19" s="23" t="s">
        <v>92</v>
      </c>
      <c r="S19" s="28" t="s">
        <v>208</v>
      </c>
      <c r="T19" s="28" t="s">
        <v>120</v>
      </c>
      <c r="U19" s="28" t="n">
        <v>1</v>
      </c>
      <c r="V19" s="28" t="s">
        <v>209</v>
      </c>
      <c r="W19" s="28" t="s">
        <v>210</v>
      </c>
      <c r="X19" s="23" t="s">
        <v>97</v>
      </c>
      <c r="Y19" s="18" t="s">
        <v>117</v>
      </c>
    </row>
  </sheetData>
  <autoFilter ref="A1:Y19"/>
  <hyperlinks>
    <hyperlink ref="W13" r:id="rId1" display="https://askkoreatravel.com/mastering-the-6015-airport-bus-th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2026-08-24T07:34:32Z</dcterms:created>
  <dc:creator>openpyxl</dc:creator>
  <dc:description/>
  <dc:language>en-US</dc:language>
  <cp:lastModifiedBy>Trinh Thi Ngoc Tu</cp:lastModifiedBy>
  <dcterms:modified xsi:type="dcterms:W3CDTF">2026-08-24T15:39:05Z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